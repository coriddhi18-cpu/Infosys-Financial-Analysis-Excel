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777AE3787674A8/Documents/"/>
    </mc:Choice>
  </mc:AlternateContent>
  <xr:revisionPtr revIDLastSave="207" documentId="8_{5C5D477A-57DA-446A-816A-E6544C7A1C9B}" xr6:coauthVersionLast="47" xr6:coauthVersionMax="47" xr10:uidLastSave="{E85745B2-7A88-4A97-9E40-C8EF0A3787EC}"/>
  <bookViews>
    <workbookView xWindow="-120" yWindow="-120" windowWidth="20730" windowHeight="11040" activeTab="2" xr2:uid="{DB0E006E-9625-4745-8BFB-64013EA8C83E}"/>
  </bookViews>
  <sheets>
    <sheet name="FINANCIAL DATA" sheetId="1" r:id="rId1"/>
    <sheet name="ANALYSIS" sheetId="2" r:id="rId2"/>
    <sheet name="TREND ANALYSIS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C23" i="1"/>
  <c r="D21" i="1"/>
  <c r="C21" i="1"/>
  <c r="B21" i="1"/>
  <c r="D20" i="1"/>
  <c r="C20" i="1"/>
  <c r="B20" i="1"/>
  <c r="D19" i="1"/>
  <c r="C19" i="1"/>
  <c r="B19" i="1"/>
  <c r="D15" i="1"/>
  <c r="C15" i="1"/>
  <c r="B15" i="1"/>
  <c r="D14" i="1"/>
  <c r="C14" i="1"/>
  <c r="B14" i="1"/>
  <c r="D11" i="1"/>
  <c r="C11" i="1"/>
  <c r="B11" i="1"/>
  <c r="D10" i="1"/>
  <c r="C10" i="1"/>
  <c r="D9" i="1"/>
  <c r="C9" i="1"/>
</calcChain>
</file>

<file path=xl/sharedStrings.xml><?xml version="1.0" encoding="utf-8"?>
<sst xmlns="http://schemas.openxmlformats.org/spreadsheetml/2006/main" count="83" uniqueCount="64">
  <si>
    <t>PARTICULARS</t>
  </si>
  <si>
    <t>FY2024</t>
  </si>
  <si>
    <t>FY2025</t>
  </si>
  <si>
    <t>FY2026</t>
  </si>
  <si>
    <t>Revenue</t>
  </si>
  <si>
    <t>Net Profit</t>
  </si>
  <si>
    <t>Basic EPS</t>
  </si>
  <si>
    <t>Profit Before Tax</t>
  </si>
  <si>
    <t>Cash &amp; Cash Equivalents</t>
  </si>
  <si>
    <t>Total Assets</t>
  </si>
  <si>
    <t>Total Equity</t>
  </si>
  <si>
    <t>Revenue Growth</t>
  </si>
  <si>
    <t xml:space="preserve">Net Profit Growth </t>
  </si>
  <si>
    <t>Net Profit Margin</t>
  </si>
  <si>
    <t>Current Assets</t>
  </si>
  <si>
    <t>Current Liabilities</t>
  </si>
  <si>
    <t>Current Ratio</t>
  </si>
  <si>
    <t>ROE %</t>
  </si>
  <si>
    <t>Total Debt</t>
  </si>
  <si>
    <t>Debt-to-Equity Ratio</t>
  </si>
  <si>
    <t>Asset turnover ratio</t>
  </si>
  <si>
    <t>Cash Ratio</t>
  </si>
  <si>
    <t>ROA %</t>
  </si>
  <si>
    <t>Profit Before Tax Margin %</t>
  </si>
  <si>
    <t>NIL</t>
  </si>
  <si>
    <t>Dividend Paid</t>
  </si>
  <si>
    <t>Dividend Payout %</t>
  </si>
  <si>
    <t>Operating Cash Flow (₹ crore)</t>
  </si>
  <si>
    <t>Investing Cash Flow (₹ crore)</t>
  </si>
  <si>
    <t>Financing Cash Flow (₹ crore)</t>
  </si>
  <si>
    <t>Net Change in Cash (₹ crore)</t>
  </si>
  <si>
    <t>Metric</t>
  </si>
  <si>
    <t>Net Profit Growth</t>
  </si>
  <si>
    <t>ROE</t>
  </si>
  <si>
    <t>Asset Turnover Ratio</t>
  </si>
  <si>
    <t>ROA</t>
  </si>
  <si>
    <t>PBT Margin</t>
  </si>
  <si>
    <t>Infosys Financial Analysis – FY2025 vs FY2026</t>
  </si>
  <si>
    <r>
      <t xml:space="preserve">1) Revenue Growth: Infosys revenue increased by </t>
    </r>
    <r>
      <rPr>
        <b/>
        <sz val="11"/>
        <color theme="1"/>
        <rFont val="Aptos Narrow"/>
        <family val="2"/>
        <scheme val="minor"/>
      </rPr>
      <t>10%</t>
    </r>
    <r>
      <rPr>
        <sz val="11"/>
        <color theme="1"/>
        <rFont val="Aptos Narrow"/>
        <family val="2"/>
        <scheme val="minor"/>
      </rPr>
      <t xml:space="preserve"> from FY2025 to FY2026.</t>
    </r>
  </si>
  <si>
    <t>2) Net Profit Growth: Net profit increased by 10%, showing continued profit growth.</t>
  </si>
  <si>
    <t>3) Profitability: Net profit margin remained around 16%, indicating stable profitability.</t>
  </si>
  <si>
    <t>4) Liquidity: Current ratio decreased from 2.27 to 1.98, but remained above 1.</t>
  </si>
  <si>
    <t>5) ROE: ROE increased from 28% to 32%, indicating higher returns on shareholders' equity.</t>
  </si>
  <si>
    <t>6) Debt: Debt-to-equity ratio remained at 0.00, based on the borrowings figure used in the analysis.</t>
  </si>
  <si>
    <t>7) Asset Efficiency: Asset turnover improved from 1.09 to 1.15.</t>
  </si>
  <si>
    <t>8) Cash Position: Cash ratio decreased from 0.57 to 0.42, indicating lower cash coverage relative to current liabilities.</t>
  </si>
  <si>
    <t>9) ROA: ROA increased from approximately 18% to 19%.</t>
  </si>
  <si>
    <t>10) PBT Margin: PBT margin decreased slightly from 23% to 22%.</t>
  </si>
  <si>
    <r>
      <rPr>
        <sz val="11"/>
        <color theme="1"/>
        <rFont val="Aptos Narrow"/>
        <family val="2"/>
        <scheme val="minor"/>
      </rPr>
      <t xml:space="preserve">Overall: Infosys showed </t>
    </r>
    <r>
      <rPr>
        <b/>
        <sz val="11"/>
        <color theme="1"/>
        <rFont val="Aptos Narrow"/>
        <family val="2"/>
        <scheme val="minor"/>
      </rPr>
      <t>growth in revenue and profit during FY2026, with improved ROE, asset turnover and ROA. Liquidity and cash coverage decreased compared with FY2025, while overall profitability remained relatively stable.</t>
    </r>
  </si>
  <si>
    <t>Overall conclusion :</t>
  </si>
  <si>
    <t xml:space="preserve">KEY FINDINGS </t>
  </si>
  <si>
    <t>₹153,670 cr</t>
  </si>
  <si>
    <t>₹162,990 cr</t>
  </si>
  <si>
    <t>₹178,650 cr</t>
  </si>
  <si>
    <t>₹26,233 cr</t>
  </si>
  <si>
    <t>₹26,713 cr</t>
  </si>
  <si>
    <t>₹29,440 cr</t>
  </si>
  <si>
    <t>Trend Findings</t>
  </si>
  <si>
    <t>1) Revenue increased consistently from ₹1,53,670 crore in FY2024 to ₹1,78,650 crore in FY2026.</t>
  </si>
  <si>
    <t>2) Revenue grew by approximately 6% in FY2025 and 10% in FY2026, showing stronger growth in FY2026.</t>
  </si>
  <si>
    <t>3) Net profit increased from ₹26,233 crore in FY2024 to ₹29,440 crore in FY2026.</t>
  </si>
  <si>
    <t>4) Net profit growth was approximately 2% in FY2025 and 10% in FY2026, indicating stronger profit growth in FY2026.</t>
  </si>
  <si>
    <t>5) Overall, Infosys showed positive revenue and net profit growth over the three-year period, with stronger growth recorded in FY2026.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</si>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</sst>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theme="5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43" fontId="2" fillId="0" borderId="0" xfId="1" applyFont="1"/>
    <xf numFmtId="43" fontId="0" fillId="0" borderId="0" xfId="1" applyFont="1" applyAlignment="1">
      <alignment vertical="center" wrapText="1"/>
    </xf>
    <xf numFmtId="9" fontId="0" fillId="0" borderId="0" xfId="2" applyFont="1"/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9" fontId="2" fillId="0" borderId="0" xfId="0" applyNumberFormat="1" applyFont="1" applyAlignment="1">
      <alignment vertical="center" wrapText="1"/>
    </xf>
    <xf numFmtId="9" fontId="2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sz="1400" b="0" i="0" u="none" strike="noStrike" baseline="0">
                <a:solidFill>
                  <a:srgbClr val="FF0000"/>
                </a:solidFill>
              </a:rPr>
              <a:t>Infosys Financial Analysis – FY2025 vs FY2026</a:t>
            </a:r>
            <a:endParaRPr lang="en-IN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8150481189851271E-2"/>
          <c:y val="0.15724591717701952"/>
          <c:w val="0.87129396325459318"/>
          <c:h val="0.391060075823855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ANALYSIS!$A$3:$A$12</c:f>
              <c:strCache>
                <c:ptCount val="10"/>
                <c:pt idx="0">
                  <c:v>Revenue Growth</c:v>
                </c:pt>
                <c:pt idx="1">
                  <c:v>Net Profit Growth</c:v>
                </c:pt>
                <c:pt idx="2">
                  <c:v>Net Profit Margin</c:v>
                </c:pt>
                <c:pt idx="3">
                  <c:v>Current Ratio</c:v>
                </c:pt>
                <c:pt idx="4">
                  <c:v>ROE</c:v>
                </c:pt>
                <c:pt idx="5">
                  <c:v>Debt-to-Equity Ratio</c:v>
                </c:pt>
                <c:pt idx="6">
                  <c:v>Asset Turnover Ratio</c:v>
                </c:pt>
                <c:pt idx="7">
                  <c:v>Cash Ratio</c:v>
                </c:pt>
                <c:pt idx="8">
                  <c:v>ROA</c:v>
                </c:pt>
                <c:pt idx="9">
                  <c:v>PBT Margin</c:v>
                </c:pt>
              </c:strCache>
            </c:strRef>
          </c:cat>
          <c:val>
            <c:numRef>
              <c:f>ANALYSIS!$B$3:$B$12</c:f>
              <c:numCache>
                <c:formatCode>0%</c:formatCode>
                <c:ptCount val="10"/>
                <c:pt idx="0">
                  <c:v>0.06</c:v>
                </c:pt>
                <c:pt idx="1">
                  <c:v>0.02</c:v>
                </c:pt>
                <c:pt idx="2">
                  <c:v>0.16</c:v>
                </c:pt>
                <c:pt idx="3" formatCode="General">
                  <c:v>2.27</c:v>
                </c:pt>
                <c:pt idx="4">
                  <c:v>0.28000000000000003</c:v>
                </c:pt>
                <c:pt idx="5" formatCode="General">
                  <c:v>0</c:v>
                </c:pt>
                <c:pt idx="6" formatCode="General">
                  <c:v>1.0900000000000001</c:v>
                </c:pt>
                <c:pt idx="7" formatCode="General">
                  <c:v>0.56999999999999995</c:v>
                </c:pt>
                <c:pt idx="8">
                  <c:v>0.18</c:v>
                </c:pt>
                <c:pt idx="9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1-4403-BB00-CB4636C23582}"/>
            </c:ext>
          </c:extLst>
        </c:ser>
        <c:ser>
          <c:idx val="1"/>
          <c:order val="1"/>
          <c:tx>
            <c:strRef>
              <c:f>ANALYSIS!$C$2</c:f>
              <c:strCache>
                <c:ptCount val="1"/>
                <c:pt idx="0">
                  <c:v>FY2026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ANALYSIS!$A$3:$A$12</c:f>
              <c:strCache>
                <c:ptCount val="10"/>
                <c:pt idx="0">
                  <c:v>Revenue Growth</c:v>
                </c:pt>
                <c:pt idx="1">
                  <c:v>Net Profit Growth</c:v>
                </c:pt>
                <c:pt idx="2">
                  <c:v>Net Profit Margin</c:v>
                </c:pt>
                <c:pt idx="3">
                  <c:v>Current Ratio</c:v>
                </c:pt>
                <c:pt idx="4">
                  <c:v>ROE</c:v>
                </c:pt>
                <c:pt idx="5">
                  <c:v>Debt-to-Equity Ratio</c:v>
                </c:pt>
                <c:pt idx="6">
                  <c:v>Asset Turnover Ratio</c:v>
                </c:pt>
                <c:pt idx="7">
                  <c:v>Cash Ratio</c:v>
                </c:pt>
                <c:pt idx="8">
                  <c:v>ROA</c:v>
                </c:pt>
                <c:pt idx="9">
                  <c:v>PBT Margin</c:v>
                </c:pt>
              </c:strCache>
            </c:strRef>
          </c:cat>
          <c:val>
            <c:numRef>
              <c:f>ANALYSIS!$C$3:$C$12</c:f>
              <c:numCache>
                <c:formatCode>0%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0.16</c:v>
                </c:pt>
                <c:pt idx="3" formatCode="General">
                  <c:v>1.98</c:v>
                </c:pt>
                <c:pt idx="4">
                  <c:v>0.32</c:v>
                </c:pt>
                <c:pt idx="5" formatCode="General">
                  <c:v>0</c:v>
                </c:pt>
                <c:pt idx="6" formatCode="General">
                  <c:v>1.1499999999999999</c:v>
                </c:pt>
                <c:pt idx="7" formatCode="General">
                  <c:v>0.42</c:v>
                </c:pt>
                <c:pt idx="8">
                  <c:v>0.19</c:v>
                </c:pt>
                <c:pt idx="9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1-4403-BB00-CB4636C23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130896"/>
        <c:axId val="1588243216"/>
      </c:barChart>
      <c:catAx>
        <c:axId val="158813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243216"/>
        <c:crosses val="autoZero"/>
        <c:auto val="1"/>
        <c:lblAlgn val="ctr"/>
        <c:lblOffset val="100"/>
        <c:noMultiLvlLbl val="0"/>
      </c:catAx>
      <c:valAx>
        <c:axId val="158824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3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FF0000"/>
                </a:solidFill>
              </a:rPr>
              <a:t>Infosys Revenue &amp; Net Profit Trend (FY2024–FY2026)</a:t>
            </a:r>
            <a:endParaRPr lang="en-IN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58555555555555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7531325533460857E-2"/>
          <c:y val="0.12422330617719694"/>
          <c:w val="0.89986980441004194"/>
          <c:h val="0.4822779397364986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'TREND ANALYSIS'!$A$1:$D$3</c:f>
              <c:multiLvlStrCache>
                <c:ptCount val="4"/>
                <c:lvl>
                  <c:pt idx="0">
                    <c:v>Net Profit</c:v>
                  </c:pt>
                  <c:pt idx="1">
                    <c:v>₹26,233 cr</c:v>
                  </c:pt>
                  <c:pt idx="2">
                    <c:v>₹26,713 cr</c:v>
                  </c:pt>
                  <c:pt idx="3">
                    <c:v>₹29,440 cr</c:v>
                  </c:pt>
                </c:lvl>
                <c:lvl>
                  <c:pt idx="0">
                    <c:v>Revenue</c:v>
                  </c:pt>
                  <c:pt idx="1">
                    <c:v>₹153,670 cr</c:v>
                  </c:pt>
                  <c:pt idx="2">
                    <c:v>₹162,990 cr</c:v>
                  </c:pt>
                  <c:pt idx="3">
                    <c:v>₹178,650 cr</c:v>
                  </c:pt>
                </c:lvl>
                <c:lvl>
                  <c:pt idx="0">
                    <c:v>PARTICULARS</c:v>
                  </c:pt>
                  <c:pt idx="1">
                    <c:v>FY2024</c:v>
                  </c:pt>
                  <c:pt idx="2">
                    <c:v>FY2025</c:v>
                  </c:pt>
                  <c:pt idx="3">
                    <c:v>FY2026</c:v>
                  </c:pt>
                </c:lvl>
              </c:multiLvlStrCache>
            </c:multiLvlStrRef>
          </c:cat>
          <c:val>
            <c:numRef>
              <c:f>'TREND ANALYSIS'!$A$4:$D$4</c:f>
              <c:numCache>
                <c:formatCode>General</c:formatCode>
                <c:ptCount val="4"/>
                <c:pt idx="0">
                  <c:v>0</c:v>
                </c:pt>
                <c:pt idx="1">
                  <c:v>153670</c:v>
                </c:pt>
                <c:pt idx="2">
                  <c:v>162990</c:v>
                </c:pt>
                <c:pt idx="3">
                  <c:v>178650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E-4D02-902E-2F95B1B7981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'TREND ANALYSIS'!$A$1:$D$3</c:f>
              <c:multiLvlStrCache>
                <c:ptCount val="4"/>
                <c:lvl>
                  <c:pt idx="0">
                    <c:v>Net Profit</c:v>
                  </c:pt>
                  <c:pt idx="1">
                    <c:v>₹26,233 cr</c:v>
                  </c:pt>
                  <c:pt idx="2">
                    <c:v>₹26,713 cr</c:v>
                  </c:pt>
                  <c:pt idx="3">
                    <c:v>₹29,440 cr</c:v>
                  </c:pt>
                </c:lvl>
                <c:lvl>
                  <c:pt idx="0">
                    <c:v>Revenue</c:v>
                  </c:pt>
                  <c:pt idx="1">
                    <c:v>₹153,670 cr</c:v>
                  </c:pt>
                  <c:pt idx="2">
                    <c:v>₹162,990 cr</c:v>
                  </c:pt>
                  <c:pt idx="3">
                    <c:v>₹178,650 cr</c:v>
                  </c:pt>
                </c:lvl>
                <c:lvl>
                  <c:pt idx="0">
                    <c:v>PARTICULARS</c:v>
                  </c:pt>
                  <c:pt idx="1">
                    <c:v>FY2024</c:v>
                  </c:pt>
                  <c:pt idx="2">
                    <c:v>FY2025</c:v>
                  </c:pt>
                  <c:pt idx="3">
                    <c:v>FY2026</c:v>
                  </c:pt>
                </c:lvl>
              </c:multiLvlStrCache>
            </c:multiLvlStrRef>
          </c:cat>
          <c:val>
            <c:numRef>
              <c:f>'TREND ANALYSIS'!$A$5:$D$5</c:f>
              <c:numCache>
                <c:formatCode>General</c:formatCode>
                <c:ptCount val="4"/>
                <c:pt idx="0">
                  <c:v>0</c:v>
                </c:pt>
                <c:pt idx="1">
                  <c:v>26233</c:v>
                </c:pt>
                <c:pt idx="2">
                  <c:v>26713</c:v>
                </c:pt>
                <c:pt idx="3">
                  <c:v>29440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5E-4D02-902E-2F95B1B7981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'TREND ANALYSIS'!$A$1:$D$3</c:f>
              <c:multiLvlStrCache>
                <c:ptCount val="4"/>
                <c:lvl>
                  <c:pt idx="0">
                    <c:v>Net Profit</c:v>
                  </c:pt>
                  <c:pt idx="1">
                    <c:v>₹26,233 cr</c:v>
                  </c:pt>
                  <c:pt idx="2">
                    <c:v>₹26,713 cr</c:v>
                  </c:pt>
                  <c:pt idx="3">
                    <c:v>₹29,440 cr</c:v>
                  </c:pt>
                </c:lvl>
                <c:lvl>
                  <c:pt idx="0">
                    <c:v>Revenue</c:v>
                  </c:pt>
                  <c:pt idx="1">
                    <c:v>₹153,670 cr</c:v>
                  </c:pt>
                  <c:pt idx="2">
                    <c:v>₹162,990 cr</c:v>
                  </c:pt>
                  <c:pt idx="3">
                    <c:v>₹178,650 cr</c:v>
                  </c:pt>
                </c:lvl>
                <c:lvl>
                  <c:pt idx="0">
                    <c:v>PARTICULARS</c:v>
                  </c:pt>
                  <c:pt idx="1">
                    <c:v>FY2024</c:v>
                  </c:pt>
                  <c:pt idx="2">
                    <c:v>FY2025</c:v>
                  </c:pt>
                  <c:pt idx="3">
                    <c:v>FY2026</c:v>
                  </c:pt>
                </c:lvl>
              </c:multiLvlStrCache>
            </c:multiLvlStrRef>
          </c:cat>
          <c:val>
            <c:numRef>
              <c:f>'TREND ANALYSIS'!$A$6:$D$6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5E-4D02-902E-2F95B1B7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896384"/>
        <c:axId val="1588191376"/>
      </c:lineChart>
      <c:catAx>
        <c:axId val="158289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91376"/>
        <c:crosses val="autoZero"/>
        <c:auto val="1"/>
        <c:lblAlgn val="ctr"/>
        <c:lblOffset val="100"/>
        <c:noMultiLvlLbl val="0"/>
      </c:catAx>
      <c:valAx>
        <c:axId val="158819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89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13</xdr:row>
      <xdr:rowOff>19050</xdr:rowOff>
    </xdr:from>
    <xdr:to>
      <xdr:col>0</xdr:col>
      <xdr:colOff>4733925</xdr:colOff>
      <xdr:row>28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87E17-B0A0-88D5-FF24-6FDD90F6D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1504950</xdr:colOff>
      <xdr:row>6</xdr:row>
      <xdr:rowOff>166687</xdr:rowOff>
    </xdr:from>
    <xdr:to>
      <xdr:col>3</xdr:col>
      <xdr:colOff>1323975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0B8CF-23F1-A2BF-5A07-3CF82F0AE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0851-F764-4274-85E6-BA17725062C2}">
  <dimension ref="A1:D27"/>
  <sheetViews>
    <sheetView workbookViewId="0">
      <selection activeCell="E11" sqref="E11"/>
    </sheetView>
  </sheetViews>
  <sheetFormatPr defaultRowHeight="15"/>
  <cols>
    <col min="1" max="1" width="28.140625" customWidth="1"/>
    <col min="2" max="2" width="27.85546875" customWidth="1"/>
    <col min="3" max="3" width="23.140625" customWidth="1"/>
    <col min="4" max="4" width="30.7109375" customWidth="1"/>
    <col min="5" max="5" width="18.7109375" customWidth="1"/>
    <col min="6" max="6" width="18.140625" customWidth="1"/>
    <col min="7" max="7" width="17.140625" customWidth="1"/>
    <col min="8" max="8" width="19" customWidth="1"/>
  </cols>
  <sheetData>
    <row r="1" spans="1:4">
      <c r="A1" s="1" t="s">
        <v>0</v>
      </c>
      <c r="B1" s="4" t="s">
        <v>1</v>
      </c>
      <c r="C1" s="4" t="s">
        <v>2</v>
      </c>
      <c r="D1" s="4" t="s">
        <v>3</v>
      </c>
    </row>
    <row r="2" spans="1:4" ht="15.75">
      <c r="A2" s="2" t="s">
        <v>4</v>
      </c>
      <c r="B2" s="5">
        <v>153670</v>
      </c>
      <c r="C2" s="5">
        <v>162990</v>
      </c>
      <c r="D2" s="5">
        <v>178650</v>
      </c>
    </row>
    <row r="3" spans="1:4">
      <c r="A3" t="s">
        <v>5</v>
      </c>
      <c r="B3" s="5">
        <v>26233</v>
      </c>
      <c r="C3" s="5">
        <v>26713</v>
      </c>
      <c r="D3" s="5">
        <v>29440</v>
      </c>
    </row>
    <row r="4" spans="1:4">
      <c r="A4" t="s">
        <v>6</v>
      </c>
      <c r="B4" s="5">
        <v>63.39</v>
      </c>
      <c r="C4" s="5">
        <v>64.5</v>
      </c>
      <c r="D4" s="5">
        <v>71.58</v>
      </c>
    </row>
    <row r="5" spans="1:4">
      <c r="A5" t="s">
        <v>7</v>
      </c>
      <c r="B5" s="5">
        <v>35988</v>
      </c>
      <c r="C5" s="5">
        <v>37608</v>
      </c>
      <c r="D5" s="5">
        <v>39995</v>
      </c>
    </row>
    <row r="6" spans="1:4">
      <c r="A6" t="s">
        <v>8</v>
      </c>
      <c r="B6" s="5">
        <v>14786</v>
      </c>
      <c r="C6" s="5">
        <v>24455</v>
      </c>
      <c r="D6" s="5">
        <v>22201</v>
      </c>
    </row>
    <row r="7" spans="1:4">
      <c r="A7" t="s">
        <v>9</v>
      </c>
      <c r="B7" s="5">
        <v>137814</v>
      </c>
      <c r="C7" s="5">
        <v>148903</v>
      </c>
      <c r="D7" s="5">
        <v>148903</v>
      </c>
    </row>
    <row r="8" spans="1:4">
      <c r="A8" t="s">
        <v>10</v>
      </c>
      <c r="B8" s="5">
        <v>88461</v>
      </c>
      <c r="C8" s="5">
        <v>96203</v>
      </c>
      <c r="D8" s="5">
        <v>93297</v>
      </c>
    </row>
    <row r="9" spans="1:4">
      <c r="A9" t="s">
        <v>11</v>
      </c>
      <c r="B9" s="3"/>
      <c r="C9" s="6">
        <f>(C2-B2)/B2</f>
        <v>6.064944361293681E-2</v>
      </c>
      <c r="D9" s="6">
        <f>(D2-C2)/C2</f>
        <v>9.6079514080618447E-2</v>
      </c>
    </row>
    <row r="10" spans="1:4">
      <c r="A10" t="s">
        <v>12</v>
      </c>
      <c r="C10" s="6">
        <f>(C3-B3)/B3</f>
        <v>1.8297564136774292E-2</v>
      </c>
      <c r="D10" s="6">
        <f>(D3-C3)/C3</f>
        <v>0.1020851270916782</v>
      </c>
    </row>
    <row r="11" spans="1:4">
      <c r="A11" t="s">
        <v>13</v>
      </c>
      <c r="B11" s="6">
        <f>B3/B2</f>
        <v>0.17070996290752913</v>
      </c>
      <c r="C11" s="6">
        <f>C3/C2</f>
        <v>0.16389349039818393</v>
      </c>
      <c r="D11" s="6">
        <f>D3/D2</f>
        <v>0.16479149174363281</v>
      </c>
    </row>
    <row r="12" spans="1:4">
      <c r="A12" t="s">
        <v>14</v>
      </c>
      <c r="B12" s="7">
        <v>86662</v>
      </c>
      <c r="C12" s="7">
        <v>97099</v>
      </c>
      <c r="D12" s="7">
        <v>103489</v>
      </c>
    </row>
    <row r="13" spans="1:4">
      <c r="A13" t="s">
        <v>15</v>
      </c>
      <c r="B13" s="7">
        <v>49252</v>
      </c>
      <c r="C13" s="7">
        <v>42850</v>
      </c>
      <c r="D13" s="7">
        <v>52322</v>
      </c>
    </row>
    <row r="14" spans="1:4">
      <c r="A14" t="s">
        <v>16</v>
      </c>
      <c r="B14">
        <f>B12/B13</f>
        <v>1.7595630634288963</v>
      </c>
      <c r="C14">
        <f>C12/C13</f>
        <v>2.2660210035005832</v>
      </c>
      <c r="D14">
        <f>D12/D13</f>
        <v>1.977925155766217</v>
      </c>
    </row>
    <row r="15" spans="1:4">
      <c r="A15" t="s">
        <v>17</v>
      </c>
      <c r="B15" s="6">
        <f>B3/B8</f>
        <v>0.29654876160115756</v>
      </c>
      <c r="C15" s="6">
        <f>C3/C8</f>
        <v>0.2776732534328451</v>
      </c>
      <c r="D15" s="6">
        <f>D3/D8</f>
        <v>0.31555141108502954</v>
      </c>
    </row>
    <row r="16" spans="1:4">
      <c r="A16" t="s">
        <v>18</v>
      </c>
      <c r="B16" s="3">
        <v>0</v>
      </c>
      <c r="C16" s="3">
        <v>0</v>
      </c>
      <c r="D16" s="3">
        <v>0</v>
      </c>
    </row>
    <row r="17" spans="1:4">
      <c r="A17" t="s">
        <v>19</v>
      </c>
      <c r="B17" s="3">
        <v>0</v>
      </c>
      <c r="C17" s="3">
        <v>0</v>
      </c>
      <c r="D17" s="3">
        <v>0</v>
      </c>
    </row>
    <row r="18" spans="1:4">
      <c r="A18" s="9" t="s">
        <v>20</v>
      </c>
      <c r="B18" s="3">
        <v>1.1100000000000001</v>
      </c>
      <c r="C18" s="3">
        <v>1.0900000000000001</v>
      </c>
      <c r="D18" s="3">
        <v>1.1499999999999999</v>
      </c>
    </row>
    <row r="19" spans="1:4">
      <c r="A19" t="s">
        <v>21</v>
      </c>
      <c r="B19">
        <f>B6/B13</f>
        <v>0.30021115893770811</v>
      </c>
      <c r="C19">
        <f>C6/C13</f>
        <v>0.57071178529754962</v>
      </c>
      <c r="D19">
        <f>D6/D13</f>
        <v>0.4243148197698865</v>
      </c>
    </row>
    <row r="20" spans="1:4">
      <c r="A20" t="s">
        <v>22</v>
      </c>
      <c r="B20" s="6">
        <f>B3/B7</f>
        <v>0.19035076262208483</v>
      </c>
      <c r="C20" s="6">
        <f>C3/C7</f>
        <v>0.17939866893212358</v>
      </c>
      <c r="D20" s="6">
        <f>D3/D7</f>
        <v>0.19771260485013734</v>
      </c>
    </row>
    <row r="21" spans="1:4">
      <c r="A21" t="s">
        <v>23</v>
      </c>
      <c r="B21" s="6">
        <f>B5/B2</f>
        <v>0.2341901477191384</v>
      </c>
      <c r="C21" s="6">
        <f>C5/C2</f>
        <v>0.23073808209092583</v>
      </c>
      <c r="D21" s="6">
        <f>D5/D2</f>
        <v>0.22387349566190876</v>
      </c>
    </row>
    <row r="22" spans="1:4">
      <c r="A22" t="s">
        <v>25</v>
      </c>
      <c r="B22" t="s">
        <v>24</v>
      </c>
      <c r="C22">
        <v>20287</v>
      </c>
      <c r="D22">
        <v>18653</v>
      </c>
    </row>
    <row r="23" spans="1:4">
      <c r="A23" t="s">
        <v>26</v>
      </c>
      <c r="B23" s="6"/>
      <c r="C23" s="6">
        <f>C22/C3</f>
        <v>0.75944296784337217</v>
      </c>
      <c r="D23" s="6">
        <f>D22/D3</f>
        <v>0.63359374999999996</v>
      </c>
    </row>
    <row r="24" spans="1:4">
      <c r="A24" t="s">
        <v>27</v>
      </c>
      <c r="B24" t="s">
        <v>24</v>
      </c>
      <c r="C24">
        <v>35694</v>
      </c>
      <c r="D24">
        <v>33986</v>
      </c>
    </row>
    <row r="25" spans="1:4">
      <c r="A25" t="s">
        <v>28</v>
      </c>
      <c r="B25" t="s">
        <v>24</v>
      </c>
      <c r="C25" s="10">
        <v>-1946</v>
      </c>
      <c r="D25" s="10">
        <v>1946</v>
      </c>
    </row>
    <row r="26" spans="1:4">
      <c r="A26" t="s">
        <v>29</v>
      </c>
      <c r="B26" t="s">
        <v>24</v>
      </c>
      <c r="C26">
        <v>-24161</v>
      </c>
      <c r="D26">
        <v>-39786</v>
      </c>
    </row>
    <row r="27" spans="1:4">
      <c r="A27" t="s">
        <v>30</v>
      </c>
      <c r="B27" t="s">
        <v>24</v>
      </c>
      <c r="C27">
        <v>9587</v>
      </c>
      <c r="D27">
        <v>-3854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E68A-5741-4080-926B-AAB045DD89F8}">
  <dimension ref="A1:C45"/>
  <sheetViews>
    <sheetView workbookViewId="0">
      <selection activeCell="G9" sqref="G9"/>
    </sheetView>
  </sheetViews>
  <sheetFormatPr defaultRowHeight="15"/>
  <cols>
    <col min="1" max="1" width="86.28515625" customWidth="1"/>
    <col min="2" max="3" width="25.7109375" customWidth="1"/>
  </cols>
  <sheetData>
    <row r="1" spans="1:3">
      <c r="A1" s="1" t="s">
        <v>37</v>
      </c>
    </row>
    <row r="2" spans="1:3">
      <c r="A2" s="14" t="s">
        <v>31</v>
      </c>
      <c r="B2" s="15" t="s">
        <v>2</v>
      </c>
      <c r="C2" s="15" t="s">
        <v>3</v>
      </c>
    </row>
    <row r="3" spans="1:3">
      <c r="A3" s="1" t="s">
        <v>11</v>
      </c>
      <c r="B3" s="11">
        <v>0.06</v>
      </c>
      <c r="C3" s="11">
        <v>0.1</v>
      </c>
    </row>
    <row r="4" spans="1:3">
      <c r="A4" s="1" t="s">
        <v>32</v>
      </c>
      <c r="B4" s="11">
        <v>0.02</v>
      </c>
      <c r="C4" s="11">
        <v>0.1</v>
      </c>
    </row>
    <row r="5" spans="1:3">
      <c r="A5" s="1" t="s">
        <v>13</v>
      </c>
      <c r="B5" s="11">
        <v>0.16</v>
      </c>
      <c r="C5" s="11">
        <v>0.16</v>
      </c>
    </row>
    <row r="6" spans="1:3">
      <c r="A6" s="1" t="s">
        <v>16</v>
      </c>
      <c r="B6" s="8">
        <v>2.27</v>
      </c>
      <c r="C6" s="8">
        <v>1.98</v>
      </c>
    </row>
    <row r="7" spans="1:3">
      <c r="A7" s="1" t="s">
        <v>33</v>
      </c>
      <c r="B7" s="12">
        <v>0.28000000000000003</v>
      </c>
      <c r="C7" s="12">
        <v>0.32</v>
      </c>
    </row>
    <row r="8" spans="1:3">
      <c r="A8" s="13" t="s">
        <v>19</v>
      </c>
      <c r="B8" s="13">
        <v>0</v>
      </c>
      <c r="C8" s="13">
        <v>0</v>
      </c>
    </row>
    <row r="9" spans="1:3">
      <c r="A9" s="1" t="s">
        <v>34</v>
      </c>
      <c r="B9" s="1">
        <v>1.0900000000000001</v>
      </c>
      <c r="C9" s="1">
        <v>1.1499999999999999</v>
      </c>
    </row>
    <row r="10" spans="1:3">
      <c r="A10" s="13" t="s">
        <v>21</v>
      </c>
      <c r="B10" s="13">
        <v>0.56999999999999995</v>
      </c>
      <c r="C10" s="1">
        <v>0.42</v>
      </c>
    </row>
    <row r="11" spans="1:3">
      <c r="A11" s="1" t="s">
        <v>35</v>
      </c>
      <c r="B11" s="12">
        <v>0.18</v>
      </c>
      <c r="C11" s="12">
        <v>0.19</v>
      </c>
    </row>
    <row r="12" spans="1:3">
      <c r="A12" s="1" t="s">
        <v>36</v>
      </c>
      <c r="B12" s="12">
        <v>0.23</v>
      </c>
      <c r="C12" s="12">
        <v>0.22</v>
      </c>
    </row>
    <row r="31" spans="1:1">
      <c r="A31" s="1" t="s">
        <v>50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 ht="30">
      <c r="A39" s="17" t="s">
        <v>45</v>
      </c>
    </row>
    <row r="40" spans="1:1">
      <c r="A40" t="s">
        <v>46</v>
      </c>
    </row>
    <row r="41" spans="1:1">
      <c r="A41" t="s">
        <v>47</v>
      </c>
    </row>
    <row r="43" spans="1:1" ht="18">
      <c r="A43" s="19" t="s">
        <v>49</v>
      </c>
    </row>
    <row r="44" spans="1:1" ht="45">
      <c r="A44" s="16" t="s">
        <v>48</v>
      </c>
    </row>
    <row r="45" spans="1:1">
      <c r="A45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5DA4-3F9A-4FF5-80C7-88333E82A422}">
  <dimension ref="A1:J29"/>
  <sheetViews>
    <sheetView tabSelected="1" zoomScaleNormal="100" workbookViewId="0">
      <selection activeCell="F27" sqref="F27"/>
    </sheetView>
  </sheetViews>
  <sheetFormatPr defaultRowHeight="15"/>
  <cols>
    <col min="1" max="1" width="58.42578125" customWidth="1"/>
    <col min="2" max="2" width="19.5703125" customWidth="1"/>
    <col min="3" max="3" width="25.85546875" customWidth="1"/>
    <col min="4" max="4" width="24.28515625" customWidth="1"/>
  </cols>
  <sheetData>
    <row r="1" spans="1:10">
      <c r="A1" s="18" t="s">
        <v>0</v>
      </c>
      <c r="B1" s="21" t="s">
        <v>1</v>
      </c>
      <c r="C1" s="21" t="s">
        <v>2</v>
      </c>
      <c r="D1" s="21" t="s">
        <v>3</v>
      </c>
    </row>
    <row r="2" spans="1:10">
      <c r="A2" s="3" t="s">
        <v>4</v>
      </c>
      <c r="B2" s="20" t="s">
        <v>51</v>
      </c>
      <c r="C2" s="20" t="s">
        <v>52</v>
      </c>
      <c r="D2" s="20" t="s">
        <v>53</v>
      </c>
    </row>
    <row r="3" spans="1:10">
      <c r="A3" s="3" t="s">
        <v>5</v>
      </c>
      <c r="B3" s="20" t="s">
        <v>54</v>
      </c>
      <c r="C3" s="20" t="s">
        <v>55</v>
      </c>
      <c r="D3" s="20" t="s">
        <v>56</v>
      </c>
    </row>
    <row r="4" spans="1:10">
      <c r="A4" t="s">
        <v>4</v>
      </c>
      <c r="B4">
        <v>153670</v>
      </c>
      <c r="C4">
        <v>162990</v>
      </c>
      <c r="D4">
        <v>178650</v>
      </c>
    </row>
    <row r="5" spans="1:10">
      <c r="A5" t="s">
        <v>5</v>
      </c>
      <c r="B5">
        <v>26233</v>
      </c>
      <c r="C5">
        <v>26713</v>
      </c>
      <c r="D5">
        <v>29440</v>
      </c>
    </row>
    <row r="11" spans="1:10">
      <c r="G11" s="18"/>
      <c r="H11" s="21"/>
      <c r="I11" s="21"/>
      <c r="J11" s="21"/>
    </row>
    <row r="12" spans="1:10">
      <c r="G12" s="3"/>
      <c r="H12" s="20"/>
      <c r="I12" s="20"/>
      <c r="J12" s="20"/>
    </row>
    <row r="13" spans="1:10">
      <c r="G13" s="3"/>
      <c r="H13" s="20"/>
      <c r="I13" s="20"/>
      <c r="J13" s="20"/>
    </row>
    <row r="24" spans="1:5">
      <c r="A24" s="1" t="s">
        <v>57</v>
      </c>
    </row>
    <row r="25" spans="1:5" ht="30">
      <c r="A25" s="17" t="s">
        <v>58</v>
      </c>
    </row>
    <row r="26" spans="1:5" ht="30">
      <c r="A26" s="17" t="s">
        <v>59</v>
      </c>
    </row>
    <row r="27" spans="1:5" ht="30">
      <c r="A27" s="17" t="s">
        <v>60</v>
      </c>
    </row>
    <row r="28" spans="1:5" ht="30">
      <c r="A28" s="17" t="s">
        <v>61</v>
      </c>
      <c r="E28" t="s">
        <v>63</v>
      </c>
    </row>
    <row r="29" spans="1:5" ht="45">
      <c r="A29" s="17" t="s">
        <v>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DATA</vt:lpstr>
      <vt:lpstr>ANALYSIS</vt:lpstr>
      <vt:lpstr>TREND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riddhi</dc:creator>
  <cp:lastModifiedBy>riddhi riddhi</cp:lastModifiedBy>
  <dcterms:created xsi:type="dcterms:W3CDTF">2026-09-29T05:26:31Z</dcterms:created>
  <dcterms:modified xsi:type="dcterms:W3CDTF">2026-10-01T09:14:18Z</dcterms:modified>
</cp:coreProperties>
</file>